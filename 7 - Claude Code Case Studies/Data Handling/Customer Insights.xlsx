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SM 2026\agentic-ceo-unfair-advantage\7 - Claude Code Case Studies\Data Handling\"/>
    </mc:Choice>
  </mc:AlternateContent>
  <xr:revisionPtr revIDLastSave="0" documentId="8_{BC7C0A06-CAF0-4612-BBBB-0B91B6370D2B}" xr6:coauthVersionLast="47" xr6:coauthVersionMax="47" xr10:uidLastSave="{00000000-0000-0000-0000-000000000000}"/>
  <bookViews>
    <workbookView xWindow="51480" yWindow="-120" windowWidth="29040" windowHeight="15720" xr2:uid="{B487A7CF-72F8-4143-92CC-703970D6CC05}"/>
  </bookViews>
  <sheets>
    <sheet name="Top 5 Customer Report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0" i="2" l="1"/>
  <c r="E40" i="2" s="1"/>
  <c r="C40" i="2"/>
  <c r="D39" i="2"/>
  <c r="E39" i="2" s="1"/>
  <c r="C39" i="2"/>
  <c r="D38" i="2"/>
  <c r="E38" i="2" s="1"/>
  <c r="C38" i="2"/>
  <c r="D37" i="2"/>
  <c r="E37" i="2" s="1"/>
  <c r="C37" i="2"/>
  <c r="D36" i="2"/>
  <c r="E36" i="2" s="1"/>
  <c r="C36" i="2"/>
  <c r="E35" i="2"/>
  <c r="D35" i="2"/>
  <c r="C35" i="2"/>
  <c r="E31" i="2"/>
  <c r="F31" i="2" s="1"/>
  <c r="E30" i="2"/>
  <c r="F30" i="2" s="1"/>
  <c r="F29" i="2"/>
  <c r="E29" i="2"/>
  <c r="E28" i="2"/>
  <c r="F28" i="2" s="1"/>
  <c r="E27" i="2"/>
  <c r="F27" i="2" s="1"/>
  <c r="E26" i="2"/>
  <c r="F26" i="2" s="1"/>
  <c r="F25" i="2"/>
  <c r="E25" i="2"/>
  <c r="E24" i="2"/>
  <c r="F24" i="2" s="1"/>
  <c r="E23" i="2"/>
  <c r="F23" i="2" s="1"/>
  <c r="E22" i="2"/>
  <c r="F22" i="2" s="1"/>
  <c r="H10" i="2"/>
  <c r="H9" i="2"/>
  <c r="H8" i="2"/>
  <c r="H7" i="2"/>
  <c r="H6" i="2"/>
</calcChain>
</file>

<file path=xl/sharedStrings.xml><?xml version="1.0" encoding="utf-8"?>
<sst xmlns="http://schemas.openxmlformats.org/spreadsheetml/2006/main" count="94" uniqueCount="62">
  <si>
    <t>TOP 5 CUSTOMER ANALYSIS &amp; INVENTORY PLANNING REPORT</t>
  </si>
  <si>
    <t>Data Period: Mar 2021 – Mar 2023 | Total Transactions: 3,000 | Based on Gross Revenue (Units × Price)</t>
  </si>
  <si>
    <t>SECTION 1: TOP 5 CUSTOMERS BY TOTAL REVENUE</t>
  </si>
  <si>
    <t>Rank</t>
  </si>
  <si>
    <t>Customer ID</t>
  </si>
  <si>
    <t>Customer Name</t>
  </si>
  <si>
    <t>Location</t>
  </si>
  <si>
    <t>Total Revenue ($)</t>
  </si>
  <si>
    <t>Total Units</t>
  </si>
  <si>
    <t># Transactions</t>
  </si>
  <si>
    <t>Avg Revenue/Txn ($)</t>
  </si>
  <si>
    <t>Stephanie Fisher</t>
  </si>
  <si>
    <t>Ahmedabad</t>
  </si>
  <si>
    <t>Crystal Johnson</t>
  </si>
  <si>
    <t>Kolkata</t>
  </si>
  <si>
    <t>Rachel Wood</t>
  </si>
  <si>
    <t>Chennai</t>
  </si>
  <si>
    <t>Kristin Bryan</t>
  </si>
  <si>
    <t>Jill Conway</t>
  </si>
  <si>
    <t>SECTION 2: TOP PRODUCTS PURCHASED BY EACH CUSTOMER (by Units)</t>
  </si>
  <si>
    <t>Customer</t>
  </si>
  <si>
    <t>Product #1</t>
  </si>
  <si>
    <t>Units</t>
  </si>
  <si>
    <t>Product #2</t>
  </si>
  <si>
    <t>Product #3</t>
  </si>
  <si>
    <t>Top Category</t>
  </si>
  <si>
    <t>Headphones</t>
  </si>
  <si>
    <t>Bed Sheets</t>
  </si>
  <si>
    <t>Smartphone</t>
  </si>
  <si>
    <t>Electronics (9 units)</t>
  </si>
  <si>
    <t>Board Game</t>
  </si>
  <si>
    <t>Laptop</t>
  </si>
  <si>
    <t>Textbook</t>
  </si>
  <si>
    <t>Books &amp; Toys (8 each)</t>
  </si>
  <si>
    <t>Shoes</t>
  </si>
  <si>
    <t>Doll</t>
  </si>
  <si>
    <t>Cookware Set</t>
  </si>
  <si>
    <t>Toys (9 units)</t>
  </si>
  <si>
    <t>Table Lamp</t>
  </si>
  <si>
    <t>RC Car</t>
  </si>
  <si>
    <t>Motor Oil</t>
  </si>
  <si>
    <t>Automotive (7 units)</t>
  </si>
  <si>
    <t>Action Figure</t>
  </si>
  <si>
    <t>Science Fiction</t>
  </si>
  <si>
    <t>Toys (13 units)</t>
  </si>
  <si>
    <t>SECTION 3: TOP 10 PRODUCTS BY DEMAND (Overall) — INVENTORY PRIORITY</t>
  </si>
  <si>
    <t>Product</t>
  </si>
  <si>
    <t>Category</t>
  </si>
  <si>
    <t>Total Units Sold (2yr)</t>
  </si>
  <si>
    <t>Est. Monthly Avg</t>
  </si>
  <si>
    <t>6-Month Forecast</t>
  </si>
  <si>
    <t>Automotive</t>
  </si>
  <si>
    <t>Electronics</t>
  </si>
  <si>
    <t>Toys</t>
  </si>
  <si>
    <t>Jeans</t>
  </si>
  <si>
    <t>Fashion</t>
  </si>
  <si>
    <t>Home</t>
  </si>
  <si>
    <t>Books</t>
  </si>
  <si>
    <t>SECTION 4: DEMAND BY CATEGORY — 6-MONTH INVENTORY FORECAST</t>
  </si>
  <si>
    <t>Total Units (2yr)</t>
  </si>
  <si>
    <t>% Share</t>
  </si>
  <si>
    <t>Monthly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</si>
</sst>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0"/>
      <color rgb="FF4472C4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/>
    <xf numFmtId="0" fontId="5" fillId="4" borderId="0" xfId="0" applyFont="1" applyFill="1"/>
    <xf numFmtId="0" fontId="1" fillId="2" borderId="0" xfId="0" applyFont="1" applyFill="1"/>
    <xf numFmtId="0" fontId="1" fillId="0" borderId="0" xfId="0" applyFont="1"/>
    <xf numFmtId="1" fontId="0" fillId="2" borderId="0" xfId="0" applyNumberForma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Category (2-Year Total)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 Report'!$B$34</c:f>
              <c:strCache>
                <c:ptCount val="1"/>
                <c:pt idx="0">
                  <c:v>Total Units (2yr)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Customer Report'!$A$35:$A$40</c:f>
              <c:strCache>
                <c:ptCount val="6"/>
                <c:pt idx="0">
                  <c:v>Automotive</c:v>
                </c:pt>
                <c:pt idx="1">
                  <c:v>Toys</c:v>
                </c:pt>
                <c:pt idx="2">
                  <c:v>Electronics</c:v>
                </c:pt>
                <c:pt idx="3">
                  <c:v>Fashion</c:v>
                </c:pt>
                <c:pt idx="4">
                  <c:v>Home</c:v>
                </c:pt>
                <c:pt idx="5">
                  <c:v>Books</c:v>
                </c:pt>
              </c:strCache>
            </c:strRef>
          </c:cat>
          <c:val>
            <c:numRef>
              <c:f>'Top 5 Customer Report'!$B$35:$B$40</c:f>
              <c:numCache>
                <c:formatCode>General</c:formatCode>
                <c:ptCount val="6"/>
                <c:pt idx="0">
                  <c:v>1585</c:v>
                </c:pt>
                <c:pt idx="1">
                  <c:v>1571</c:v>
                </c:pt>
                <c:pt idx="2">
                  <c:v>1518</c:v>
                </c:pt>
                <c:pt idx="3">
                  <c:v>1498</c:v>
                </c:pt>
                <c:pt idx="4">
                  <c:v>1495</c:v>
                </c:pt>
                <c:pt idx="5">
                  <c:v>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5-4AEE-8309-277BD86DB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352816"/>
        <c:axId val="989369616"/>
      </c:barChart>
      <c:catAx>
        <c:axId val="98935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69616"/>
        <c:crosses val="autoZero"/>
        <c:auto val="1"/>
        <c:lblAlgn val="ctr"/>
        <c:lblOffset val="100"/>
        <c:noMultiLvlLbl val="0"/>
      </c:catAx>
      <c:valAx>
        <c:axId val="98936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5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 Report'!$D$21</c:f>
              <c:strCache>
                <c:ptCount val="1"/>
                <c:pt idx="0">
                  <c:v>Total Units Sold (2yr)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'Top 5 Customer Report'!$A$22:$C$31</c:f>
              <c:multiLvlStrCache>
                <c:ptCount val="10"/>
                <c:lvl>
                  <c:pt idx="0">
                    <c:v>Automotive</c:v>
                  </c:pt>
                  <c:pt idx="1">
                    <c:v>Electronics</c:v>
                  </c:pt>
                  <c:pt idx="2">
                    <c:v>Toys</c:v>
                  </c:pt>
                  <c:pt idx="3">
                    <c:v>Toys</c:v>
                  </c:pt>
                  <c:pt idx="4">
                    <c:v>Fashion</c:v>
                  </c:pt>
                  <c:pt idx="5">
                    <c:v>Home</c:v>
                  </c:pt>
                  <c:pt idx="6">
                    <c:v>Electronics</c:v>
                  </c:pt>
                  <c:pt idx="7">
                    <c:v>Books</c:v>
                  </c:pt>
                  <c:pt idx="8">
                    <c:v>Toys</c:v>
                  </c:pt>
                  <c:pt idx="9">
                    <c:v>Fashion</c:v>
                  </c:pt>
                </c:lvl>
                <c:lvl>
                  <c:pt idx="0">
                    <c:v>Motor Oil</c:v>
                  </c:pt>
                  <c:pt idx="1">
                    <c:v>Laptop</c:v>
                  </c:pt>
                  <c:pt idx="2">
                    <c:v>Board Game</c:v>
                  </c:pt>
                  <c:pt idx="3">
                    <c:v>Action Figure</c:v>
                  </c:pt>
                  <c:pt idx="4">
                    <c:v>Jeans</c:v>
                  </c:pt>
                  <c:pt idx="5">
                    <c:v>Bed Sheets</c:v>
                  </c:pt>
                  <c:pt idx="6">
                    <c:v>Headphones</c:v>
                  </c:pt>
                  <c:pt idx="7">
                    <c:v>Textbook</c:v>
                  </c:pt>
                  <c:pt idx="8">
                    <c:v>Doll</c:v>
                  </c:pt>
                  <c:pt idx="9">
                    <c:v>Shoes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'Top 5 Customer Report'!$D$22:$D$31</c:f>
              <c:numCache>
                <c:formatCode>General</c:formatCode>
                <c:ptCount val="10"/>
                <c:pt idx="0">
                  <c:v>408</c:v>
                </c:pt>
                <c:pt idx="1">
                  <c:v>378</c:v>
                </c:pt>
                <c:pt idx="2">
                  <c:v>364</c:v>
                </c:pt>
                <c:pt idx="3">
                  <c:v>345</c:v>
                </c:pt>
                <c:pt idx="4">
                  <c:v>332</c:v>
                </c:pt>
                <c:pt idx="5">
                  <c:v>331</c:v>
                </c:pt>
                <c:pt idx="6">
                  <c:v>324</c:v>
                </c:pt>
                <c:pt idx="7">
                  <c:v>317</c:v>
                </c:pt>
                <c:pt idx="8">
                  <c:v>316</c:v>
                </c:pt>
                <c:pt idx="9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4-4774-A134-9FB34E18E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371536"/>
        <c:axId val="989374416"/>
      </c:barChart>
      <c:catAx>
        <c:axId val="98937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74416"/>
        <c:crosses val="autoZero"/>
        <c:auto val="1"/>
        <c:lblAlgn val="ctr"/>
        <c:lblOffset val="100"/>
        <c:noMultiLvlLbl val="0"/>
      </c:catAx>
      <c:valAx>
        <c:axId val="98937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7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10</xdr:col>
      <xdr:colOff>57150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20327-5FE5-4D02-935E-166AB1E5E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57150</xdr:colOff>
      <xdr:row>33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D9208A-36BA-4282-B9FC-5DDD1E995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DSM%202026\agentic-ceo-unfair-advantage\7%20-%20Claude%20Code%20Case%20Studies\Data%20Handling\Customer_Data_demo%201.xlsx" TargetMode="External"/><Relationship Id="rId1" Type="http://schemas.openxmlformats.org/officeDocument/2006/relationships/externalLinkPath" Target="Customer_Data_dem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"/>
      <sheetName val="TXN"/>
      <sheetName val="Top 5 Customer Report"/>
    </sheetNames>
    <sheetDataSet>
      <sheetData sheetId="0"/>
      <sheetData sheetId="1"/>
      <sheetData sheetId="2">
        <row r="21">
          <cell r="D21" t="str">
            <v>Total Units Sold (2yr)</v>
          </cell>
        </row>
        <row r="22">
          <cell r="A22">
            <v>1</v>
          </cell>
          <cell r="B22" t="str">
            <v>Motor Oil</v>
          </cell>
          <cell r="C22" t="str">
            <v>Automotive</v>
          </cell>
          <cell r="D22">
            <v>408</v>
          </cell>
        </row>
        <row r="23">
          <cell r="A23">
            <v>2</v>
          </cell>
          <cell r="B23" t="str">
            <v>Laptop</v>
          </cell>
          <cell r="C23" t="str">
            <v>Electronics</v>
          </cell>
          <cell r="D23">
            <v>378</v>
          </cell>
        </row>
        <row r="24">
          <cell r="A24">
            <v>3</v>
          </cell>
          <cell r="B24" t="str">
            <v>Board Game</v>
          </cell>
          <cell r="C24" t="str">
            <v>Toys</v>
          </cell>
          <cell r="D24">
            <v>364</v>
          </cell>
        </row>
        <row r="25">
          <cell r="A25">
            <v>4</v>
          </cell>
          <cell r="B25" t="str">
            <v>Action Figure</v>
          </cell>
          <cell r="C25" t="str">
            <v>Toys</v>
          </cell>
          <cell r="D25">
            <v>345</v>
          </cell>
        </row>
        <row r="26">
          <cell r="A26">
            <v>5</v>
          </cell>
          <cell r="B26" t="str">
            <v>Jeans</v>
          </cell>
          <cell r="C26" t="str">
            <v>Fashion</v>
          </cell>
          <cell r="D26">
            <v>332</v>
          </cell>
        </row>
        <row r="27">
          <cell r="A27">
            <v>6</v>
          </cell>
          <cell r="B27" t="str">
            <v>Bed Sheets</v>
          </cell>
          <cell r="C27" t="str">
            <v>Home</v>
          </cell>
          <cell r="D27">
            <v>331</v>
          </cell>
        </row>
        <row r="28">
          <cell r="A28">
            <v>7</v>
          </cell>
          <cell r="B28" t="str">
            <v>Headphones</v>
          </cell>
          <cell r="C28" t="str">
            <v>Electronics</v>
          </cell>
          <cell r="D28">
            <v>324</v>
          </cell>
        </row>
        <row r="29">
          <cell r="A29">
            <v>8</v>
          </cell>
          <cell r="B29" t="str">
            <v>Textbook</v>
          </cell>
          <cell r="C29" t="str">
            <v>Books</v>
          </cell>
          <cell r="D29">
            <v>317</v>
          </cell>
        </row>
        <row r="30">
          <cell r="A30">
            <v>9</v>
          </cell>
          <cell r="B30" t="str">
            <v>Doll</v>
          </cell>
          <cell r="C30" t="str">
            <v>Toys</v>
          </cell>
          <cell r="D30">
            <v>316</v>
          </cell>
        </row>
        <row r="31">
          <cell r="A31">
            <v>10</v>
          </cell>
          <cell r="B31" t="str">
            <v>Shoes</v>
          </cell>
          <cell r="C31" t="str">
            <v>Fashion</v>
          </cell>
          <cell r="D31">
            <v>316</v>
          </cell>
        </row>
        <row r="34">
          <cell r="B34" t="str">
            <v>Total Units (2yr)</v>
          </cell>
        </row>
        <row r="35">
          <cell r="A35" t="str">
            <v>Automotive</v>
          </cell>
          <cell r="B35">
            <v>1585</v>
          </cell>
        </row>
        <row r="36">
          <cell r="A36" t="str">
            <v>Toys</v>
          </cell>
          <cell r="B36">
            <v>1571</v>
          </cell>
        </row>
        <row r="37">
          <cell r="A37" t="str">
            <v>Electronics</v>
          </cell>
          <cell r="B37">
            <v>1518</v>
          </cell>
        </row>
        <row r="38">
          <cell r="A38" t="str">
            <v>Fashion</v>
          </cell>
          <cell r="B38">
            <v>1498</v>
          </cell>
        </row>
        <row r="39">
          <cell r="A39" t="str">
            <v>Home</v>
          </cell>
          <cell r="B39">
            <v>1495</v>
          </cell>
        </row>
        <row r="40">
          <cell r="A40" t="str">
            <v>Books</v>
          </cell>
          <cell r="B40">
            <v>1406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7595-0B07-4E20-902A-42414D3D61BE}">
  <dimension ref="A1:N40"/>
  <sheetViews>
    <sheetView tabSelected="1" zoomScale="80" zoomScaleNormal="80" workbookViewId="0">
      <selection activeCell="F39" sqref="F39"/>
    </sheetView>
  </sheetViews>
  <sheetFormatPr defaultRowHeight="15" x14ac:dyDescent="0.25"/>
  <cols>
    <col min="1" max="1" width="30.42578125" customWidth="1"/>
    <col min="2" max="8" width="24.7109375" customWidth="1"/>
  </cols>
  <sheetData>
    <row r="1" spans="1:14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</row>
    <row r="4" spans="1:14" ht="17.25" x14ac:dyDescent="0.3">
      <c r="A4" s="4" t="s">
        <v>2</v>
      </c>
      <c r="B4" s="5"/>
      <c r="C4" s="5"/>
      <c r="D4" s="5"/>
      <c r="E4" s="5"/>
      <c r="F4" s="5"/>
      <c r="G4" s="5"/>
      <c r="H4" s="5"/>
    </row>
    <row r="5" spans="1:14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spans="1:14" x14ac:dyDescent="0.25">
      <c r="A6" s="7">
        <v>1</v>
      </c>
      <c r="B6" s="7">
        <v>510</v>
      </c>
      <c r="C6" s="2" t="s">
        <v>11</v>
      </c>
      <c r="D6" s="2" t="s">
        <v>12</v>
      </c>
      <c r="E6" s="8">
        <v>9297.25</v>
      </c>
      <c r="F6" s="7">
        <v>24</v>
      </c>
      <c r="G6" s="7">
        <v>7</v>
      </c>
      <c r="H6" s="8">
        <f>E6/G6</f>
        <v>1328.1785714285713</v>
      </c>
    </row>
    <row r="7" spans="1:14" x14ac:dyDescent="0.25">
      <c r="A7" s="9">
        <v>2</v>
      </c>
      <c r="B7" s="9">
        <v>96</v>
      </c>
      <c r="C7" t="s">
        <v>13</v>
      </c>
      <c r="D7" t="s">
        <v>14</v>
      </c>
      <c r="E7" s="10">
        <v>9205.4</v>
      </c>
      <c r="F7" s="9">
        <v>27</v>
      </c>
      <c r="G7" s="9">
        <v>7</v>
      </c>
      <c r="H7" s="10">
        <f>E7/G7</f>
        <v>1315.0571428571427</v>
      </c>
    </row>
    <row r="8" spans="1:14" x14ac:dyDescent="0.25">
      <c r="A8" s="7">
        <v>3</v>
      </c>
      <c r="B8" s="7">
        <v>851</v>
      </c>
      <c r="C8" s="2" t="s">
        <v>15</v>
      </c>
      <c r="D8" s="2" t="s">
        <v>16</v>
      </c>
      <c r="E8" s="8">
        <v>8967.14</v>
      </c>
      <c r="F8" s="7">
        <v>26</v>
      </c>
      <c r="G8" s="7">
        <v>7</v>
      </c>
      <c r="H8" s="8">
        <f>E8/G8</f>
        <v>1281.02</v>
      </c>
    </row>
    <row r="9" spans="1:14" x14ac:dyDescent="0.25">
      <c r="A9" s="9">
        <v>4</v>
      </c>
      <c r="B9" s="9">
        <v>103</v>
      </c>
      <c r="C9" t="s">
        <v>17</v>
      </c>
      <c r="D9" t="s">
        <v>16</v>
      </c>
      <c r="E9" s="10">
        <v>8830.7099999999991</v>
      </c>
      <c r="F9" s="9">
        <v>29</v>
      </c>
      <c r="G9" s="9">
        <v>9</v>
      </c>
      <c r="H9" s="10">
        <f>E9/G9</f>
        <v>981.18999999999994</v>
      </c>
    </row>
    <row r="10" spans="1:14" x14ac:dyDescent="0.25">
      <c r="A10" s="7">
        <v>5</v>
      </c>
      <c r="B10" s="7">
        <v>31</v>
      </c>
      <c r="C10" s="2" t="s">
        <v>18</v>
      </c>
      <c r="D10" s="2" t="s">
        <v>14</v>
      </c>
      <c r="E10" s="8">
        <v>8595.41</v>
      </c>
      <c r="F10" s="7">
        <v>27</v>
      </c>
      <c r="G10" s="7">
        <v>8</v>
      </c>
      <c r="H10" s="8">
        <f>E10/G10</f>
        <v>1074.42625</v>
      </c>
    </row>
    <row r="12" spans="1:14" ht="17.25" x14ac:dyDescent="0.3">
      <c r="A12" s="4" t="s">
        <v>19</v>
      </c>
      <c r="B12" s="5"/>
      <c r="C12" s="5"/>
      <c r="D12" s="5"/>
      <c r="E12" s="5"/>
      <c r="F12" s="5"/>
      <c r="G12" s="5"/>
      <c r="H12" s="5"/>
    </row>
    <row r="13" spans="1:14" x14ac:dyDescent="0.25">
      <c r="A13" s="11" t="s">
        <v>20</v>
      </c>
      <c r="B13" s="6" t="s">
        <v>21</v>
      </c>
      <c r="C13" s="6" t="s">
        <v>22</v>
      </c>
      <c r="D13" s="6" t="s">
        <v>23</v>
      </c>
      <c r="E13" s="6" t="s">
        <v>22</v>
      </c>
      <c r="F13" s="6" t="s">
        <v>24</v>
      </c>
      <c r="G13" s="6" t="s">
        <v>22</v>
      </c>
      <c r="H13" s="6" t="s">
        <v>25</v>
      </c>
    </row>
    <row r="14" spans="1:14" x14ac:dyDescent="0.25">
      <c r="A14" s="12" t="s">
        <v>11</v>
      </c>
      <c r="B14" s="7" t="s">
        <v>26</v>
      </c>
      <c r="C14" s="7">
        <v>5</v>
      </c>
      <c r="D14" s="7" t="s">
        <v>27</v>
      </c>
      <c r="E14" s="7">
        <v>5</v>
      </c>
      <c r="F14" s="7" t="s">
        <v>28</v>
      </c>
      <c r="G14" s="7">
        <v>4</v>
      </c>
      <c r="H14" s="7" t="s">
        <v>29</v>
      </c>
    </row>
    <row r="15" spans="1:14" x14ac:dyDescent="0.25">
      <c r="A15" s="13" t="s">
        <v>13</v>
      </c>
      <c r="B15" s="9" t="s">
        <v>30</v>
      </c>
      <c r="C15" s="9">
        <v>5</v>
      </c>
      <c r="D15" s="9" t="s">
        <v>31</v>
      </c>
      <c r="E15" s="9">
        <v>5</v>
      </c>
      <c r="F15" s="9" t="s">
        <v>32</v>
      </c>
      <c r="G15" s="9">
        <v>4</v>
      </c>
      <c r="H15" s="9" t="s">
        <v>33</v>
      </c>
    </row>
    <row r="16" spans="1:14" x14ac:dyDescent="0.25">
      <c r="A16" s="12" t="s">
        <v>15</v>
      </c>
      <c r="B16" s="7" t="s">
        <v>34</v>
      </c>
      <c r="C16" s="7">
        <v>7</v>
      </c>
      <c r="D16" s="7" t="s">
        <v>35</v>
      </c>
      <c r="E16" s="7">
        <v>5</v>
      </c>
      <c r="F16" s="7" t="s">
        <v>36</v>
      </c>
      <c r="G16" s="7">
        <v>4</v>
      </c>
      <c r="H16" s="7" t="s">
        <v>37</v>
      </c>
    </row>
    <row r="17" spans="1:8" x14ac:dyDescent="0.25">
      <c r="A17" s="13" t="s">
        <v>17</v>
      </c>
      <c r="B17" s="9" t="s">
        <v>38</v>
      </c>
      <c r="C17" s="9">
        <v>6</v>
      </c>
      <c r="D17" s="9" t="s">
        <v>39</v>
      </c>
      <c r="E17" s="9">
        <v>5</v>
      </c>
      <c r="F17" s="9" t="s">
        <v>40</v>
      </c>
      <c r="G17" s="9">
        <v>4</v>
      </c>
      <c r="H17" s="9" t="s">
        <v>41</v>
      </c>
    </row>
    <row r="18" spans="1:8" x14ac:dyDescent="0.25">
      <c r="A18" s="12" t="s">
        <v>18</v>
      </c>
      <c r="B18" s="7" t="s">
        <v>42</v>
      </c>
      <c r="C18" s="7">
        <v>9</v>
      </c>
      <c r="D18" s="7" t="s">
        <v>30</v>
      </c>
      <c r="E18" s="7">
        <v>4</v>
      </c>
      <c r="F18" s="7" t="s">
        <v>43</v>
      </c>
      <c r="G18" s="7">
        <v>4</v>
      </c>
      <c r="H18" s="7" t="s">
        <v>44</v>
      </c>
    </row>
    <row r="20" spans="1:8" ht="17.25" x14ac:dyDescent="0.3">
      <c r="A20" s="4" t="s">
        <v>45</v>
      </c>
      <c r="B20" s="5"/>
      <c r="C20" s="5"/>
      <c r="D20" s="5"/>
      <c r="E20" s="5"/>
      <c r="F20" s="5"/>
      <c r="G20" s="5"/>
      <c r="H20" s="5"/>
    </row>
    <row r="21" spans="1:8" x14ac:dyDescent="0.25">
      <c r="A21" s="6" t="s">
        <v>3</v>
      </c>
      <c r="B21" s="6" t="s">
        <v>46</v>
      </c>
      <c r="C21" s="6" t="s">
        <v>47</v>
      </c>
      <c r="D21" s="6" t="s">
        <v>48</v>
      </c>
      <c r="E21" s="6" t="s">
        <v>49</v>
      </c>
      <c r="F21" s="6" t="s">
        <v>50</v>
      </c>
    </row>
    <row r="22" spans="1:8" x14ac:dyDescent="0.25">
      <c r="A22" s="7">
        <v>1</v>
      </c>
      <c r="B22" s="12" t="s">
        <v>40</v>
      </c>
      <c r="C22" s="2" t="s">
        <v>51</v>
      </c>
      <c r="D22" s="7">
        <v>408</v>
      </c>
      <c r="E22" s="14">
        <f>D22/24</f>
        <v>17</v>
      </c>
      <c r="F22" s="15">
        <f>E22*6</f>
        <v>102</v>
      </c>
    </row>
    <row r="23" spans="1:8" x14ac:dyDescent="0.25">
      <c r="A23" s="9">
        <v>2</v>
      </c>
      <c r="B23" s="13" t="s">
        <v>31</v>
      </c>
      <c r="C23" t="s">
        <v>52</v>
      </c>
      <c r="D23" s="9">
        <v>378</v>
      </c>
      <c r="E23" s="16">
        <f>D23/24</f>
        <v>15.75</v>
      </c>
      <c r="F23" s="15">
        <f>E23*6</f>
        <v>94.5</v>
      </c>
    </row>
    <row r="24" spans="1:8" x14ac:dyDescent="0.25">
      <c r="A24" s="7">
        <v>3</v>
      </c>
      <c r="B24" s="12" t="s">
        <v>30</v>
      </c>
      <c r="C24" s="2" t="s">
        <v>53</v>
      </c>
      <c r="D24" s="7">
        <v>364</v>
      </c>
      <c r="E24" s="14">
        <f>D24/24</f>
        <v>15.166666666666666</v>
      </c>
      <c r="F24" s="15">
        <f>E24*6</f>
        <v>91</v>
      </c>
    </row>
    <row r="25" spans="1:8" x14ac:dyDescent="0.25">
      <c r="A25" s="9">
        <v>4</v>
      </c>
      <c r="B25" s="13" t="s">
        <v>42</v>
      </c>
      <c r="C25" t="s">
        <v>53</v>
      </c>
      <c r="D25" s="9">
        <v>345</v>
      </c>
      <c r="E25" s="16">
        <f>D25/24</f>
        <v>14.375</v>
      </c>
      <c r="F25" s="15">
        <f>E25*6</f>
        <v>86.25</v>
      </c>
    </row>
    <row r="26" spans="1:8" x14ac:dyDescent="0.25">
      <c r="A26" s="7">
        <v>5</v>
      </c>
      <c r="B26" s="12" t="s">
        <v>54</v>
      </c>
      <c r="C26" s="2" t="s">
        <v>55</v>
      </c>
      <c r="D26" s="7">
        <v>332</v>
      </c>
      <c r="E26" s="14">
        <f>D26/24</f>
        <v>13.833333333333334</v>
      </c>
      <c r="F26" s="15">
        <f>E26*6</f>
        <v>83</v>
      </c>
    </row>
    <row r="27" spans="1:8" x14ac:dyDescent="0.25">
      <c r="A27" s="9">
        <v>6</v>
      </c>
      <c r="B27" s="13" t="s">
        <v>27</v>
      </c>
      <c r="C27" t="s">
        <v>56</v>
      </c>
      <c r="D27" s="9">
        <v>331</v>
      </c>
      <c r="E27" s="16">
        <f>D27/24</f>
        <v>13.791666666666666</v>
      </c>
      <c r="F27" s="15">
        <f>E27*6</f>
        <v>82.75</v>
      </c>
    </row>
    <row r="28" spans="1:8" x14ac:dyDescent="0.25">
      <c r="A28" s="7">
        <v>7</v>
      </c>
      <c r="B28" s="12" t="s">
        <v>26</v>
      </c>
      <c r="C28" s="2" t="s">
        <v>52</v>
      </c>
      <c r="D28" s="7">
        <v>324</v>
      </c>
      <c r="E28" s="14">
        <f>D28/24</f>
        <v>13.5</v>
      </c>
      <c r="F28" s="15">
        <f>E28*6</f>
        <v>81</v>
      </c>
    </row>
    <row r="29" spans="1:8" x14ac:dyDescent="0.25">
      <c r="A29" s="9">
        <v>8</v>
      </c>
      <c r="B29" s="13" t="s">
        <v>32</v>
      </c>
      <c r="C29" t="s">
        <v>57</v>
      </c>
      <c r="D29" s="9">
        <v>317</v>
      </c>
      <c r="E29" s="16">
        <f>D29/24</f>
        <v>13.208333333333334</v>
      </c>
      <c r="F29" s="15">
        <f>E29*6</f>
        <v>79.25</v>
      </c>
    </row>
    <row r="30" spans="1:8" x14ac:dyDescent="0.25">
      <c r="A30" s="7">
        <v>9</v>
      </c>
      <c r="B30" s="12" t="s">
        <v>35</v>
      </c>
      <c r="C30" s="2" t="s">
        <v>53</v>
      </c>
      <c r="D30" s="7">
        <v>316</v>
      </c>
      <c r="E30" s="14">
        <f>D30/24</f>
        <v>13.166666666666666</v>
      </c>
      <c r="F30" s="15">
        <f>E30*6</f>
        <v>79</v>
      </c>
    </row>
    <row r="31" spans="1:8" x14ac:dyDescent="0.25">
      <c r="A31" s="9">
        <v>10</v>
      </c>
      <c r="B31" s="13" t="s">
        <v>34</v>
      </c>
      <c r="C31" t="s">
        <v>55</v>
      </c>
      <c r="D31" s="9">
        <v>316</v>
      </c>
      <c r="E31" s="16">
        <f>D31/24</f>
        <v>13.166666666666666</v>
      </c>
      <c r="F31" s="15">
        <f>E31*6</f>
        <v>79</v>
      </c>
    </row>
    <row r="33" spans="1:8" ht="17.25" x14ac:dyDescent="0.3">
      <c r="A33" s="4" t="s">
        <v>58</v>
      </c>
      <c r="B33" s="5"/>
      <c r="C33" s="5"/>
      <c r="D33" s="5"/>
      <c r="E33" s="5"/>
      <c r="F33" s="5"/>
      <c r="G33" s="5"/>
      <c r="H33" s="5"/>
    </row>
    <row r="34" spans="1:8" x14ac:dyDescent="0.25">
      <c r="A34" s="6" t="s">
        <v>47</v>
      </c>
      <c r="B34" s="6" t="s">
        <v>59</v>
      </c>
      <c r="C34" s="6" t="s">
        <v>60</v>
      </c>
      <c r="D34" s="6" t="s">
        <v>61</v>
      </c>
      <c r="E34" s="6" t="s">
        <v>50</v>
      </c>
    </row>
    <row r="35" spans="1:8" x14ac:dyDescent="0.25">
      <c r="A35" s="12" t="s">
        <v>51</v>
      </c>
      <c r="B35" s="7">
        <v>1585</v>
      </c>
      <c r="C35" s="17">
        <f>B35/SUM(B35:B40)</f>
        <v>0.17469414747051693</v>
      </c>
      <c r="D35" s="14">
        <f>B35/24</f>
        <v>66.041666666666671</v>
      </c>
      <c r="E35" s="15">
        <f>D35*6</f>
        <v>396.25</v>
      </c>
    </row>
    <row r="36" spans="1:8" x14ac:dyDescent="0.25">
      <c r="A36" s="13" t="s">
        <v>53</v>
      </c>
      <c r="B36" s="9">
        <v>1571</v>
      </c>
      <c r="C36" s="18">
        <f>B36/SUM($B$35:$B$40)</f>
        <v>0.17315110768213379</v>
      </c>
      <c r="D36" s="16">
        <f>B36/24</f>
        <v>65.458333333333329</v>
      </c>
      <c r="E36" s="15">
        <f>D36*6</f>
        <v>392.75</v>
      </c>
    </row>
    <row r="37" spans="1:8" x14ac:dyDescent="0.25">
      <c r="A37" s="12" t="s">
        <v>52</v>
      </c>
      <c r="B37" s="7">
        <v>1518</v>
      </c>
      <c r="C37" s="17">
        <f>B37/SUM($B$35:$B$40)</f>
        <v>0.16730959991182628</v>
      </c>
      <c r="D37" s="14">
        <f>B37/24</f>
        <v>63.25</v>
      </c>
      <c r="E37" s="15">
        <f>D37*6</f>
        <v>379.5</v>
      </c>
    </row>
    <row r="38" spans="1:8" x14ac:dyDescent="0.25">
      <c r="A38" s="13" t="s">
        <v>55</v>
      </c>
      <c r="B38" s="9">
        <v>1498</v>
      </c>
      <c r="C38" s="18">
        <f>B38/SUM($B$35:$B$40)</f>
        <v>0.16510525735699327</v>
      </c>
      <c r="D38" s="16">
        <f>B38/24</f>
        <v>62.416666666666664</v>
      </c>
      <c r="E38" s="15">
        <f>D38*6</f>
        <v>374.5</v>
      </c>
    </row>
    <row r="39" spans="1:8" x14ac:dyDescent="0.25">
      <c r="A39" s="12" t="s">
        <v>56</v>
      </c>
      <c r="B39" s="7">
        <v>1495</v>
      </c>
      <c r="C39" s="17">
        <f>B39/SUM($B$35:$B$40)</f>
        <v>0.16477460597376833</v>
      </c>
      <c r="D39" s="14">
        <f>B39/24</f>
        <v>62.291666666666664</v>
      </c>
      <c r="E39" s="15">
        <f>D39*6</f>
        <v>373.75</v>
      </c>
    </row>
    <row r="40" spans="1:8" x14ac:dyDescent="0.25">
      <c r="A40" s="13" t="s">
        <v>57</v>
      </c>
      <c r="B40" s="9">
        <v>1406</v>
      </c>
      <c r="C40" s="18">
        <f>B40/SUM($B$35:$B$40)</f>
        <v>0.15496528160476139</v>
      </c>
      <c r="D40" s="16">
        <f>B40/24</f>
        <v>58.583333333333336</v>
      </c>
      <c r="E40" s="15">
        <f>D40*6</f>
        <v>351.5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 Customer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Kunaal Naik</dc:creator>
  <cp:lastModifiedBy>Kunaal Naik</cp:lastModifiedBy>
  <dcterms:created xsi:type="dcterms:W3CDTF">2026-02-28T10:52:17Z</dcterms:created>
  <dcterms:modified xsi:type="dcterms:W3CDTF">2026-02-28T10:54:35Z</dcterms:modified>
</cp:coreProperties>
</file>